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uisson/Documents/AlexFork/Agent/results/"/>
    </mc:Choice>
  </mc:AlternateContent>
  <xr:revisionPtr revIDLastSave="0" documentId="13_ncr:1_{FEF1179F-B0EF-DF45-95CA-CCBCFF093437}" xr6:coauthVersionLast="47" xr6:coauthVersionMax="47" xr10:uidLastSave="{00000000-0000-0000-0000-000000000000}"/>
  <bookViews>
    <workbookView xWindow="0" yWindow="660" windowWidth="34560" windowHeight="2168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74" i="1" l="1"/>
  <c r="N74" i="1"/>
  <c r="M71" i="1"/>
  <c r="N71" i="1"/>
  <c r="M68" i="1"/>
  <c r="N68" i="1"/>
  <c r="L66" i="1"/>
  <c r="L67" i="1"/>
  <c r="L68" i="1"/>
  <c r="L70" i="1"/>
  <c r="L71" i="1" s="1"/>
  <c r="L74" i="1"/>
  <c r="K66" i="1"/>
  <c r="K67" i="1"/>
  <c r="K68" i="1"/>
  <c r="K70" i="1"/>
  <c r="K71" i="1"/>
  <c r="K74" i="1"/>
  <c r="D71" i="1"/>
  <c r="E71" i="1"/>
  <c r="F71" i="1"/>
  <c r="G71" i="1"/>
  <c r="H71" i="1"/>
  <c r="I71" i="1"/>
  <c r="J71" i="1"/>
  <c r="C71" i="1"/>
  <c r="J74" i="1"/>
  <c r="I74" i="1"/>
  <c r="H74" i="1"/>
  <c r="G74" i="1"/>
  <c r="F74" i="1"/>
  <c r="E74" i="1"/>
  <c r="D74" i="1"/>
  <c r="C74" i="1"/>
  <c r="J70" i="1"/>
  <c r="I70" i="1"/>
  <c r="H70" i="1"/>
  <c r="G70" i="1"/>
  <c r="F70" i="1"/>
  <c r="E70" i="1"/>
  <c r="D70" i="1"/>
  <c r="C70" i="1"/>
  <c r="J69" i="1"/>
  <c r="I69" i="1"/>
  <c r="H69" i="1"/>
  <c r="G69" i="1"/>
  <c r="F69" i="1"/>
  <c r="E69" i="1"/>
  <c r="D69" i="1"/>
  <c r="C69" i="1"/>
  <c r="J68" i="1"/>
  <c r="I68" i="1"/>
  <c r="H68" i="1"/>
  <c r="G68" i="1"/>
  <c r="F68" i="1"/>
  <c r="E68" i="1"/>
  <c r="D68" i="1"/>
  <c r="C68" i="1"/>
  <c r="J67" i="1"/>
  <c r="I67" i="1"/>
  <c r="H67" i="1"/>
  <c r="G67" i="1"/>
  <c r="F67" i="1"/>
  <c r="E67" i="1"/>
  <c r="D67" i="1"/>
  <c r="C67" i="1"/>
  <c r="J66" i="1"/>
  <c r="I66" i="1"/>
  <c r="H66" i="1"/>
  <c r="G66" i="1"/>
  <c r="F66" i="1"/>
  <c r="E66" i="1"/>
  <c r="D66" i="1"/>
  <c r="C66" i="1"/>
</calcChain>
</file>

<file path=xl/sharedStrings.xml><?xml version="1.0" encoding="utf-8"?>
<sst xmlns="http://schemas.openxmlformats.org/spreadsheetml/2006/main" count="136" uniqueCount="44">
  <si>
    <t>metric</t>
  </si>
  <si>
    <t>Deepseek-r1 (70B)</t>
  </si>
  <si>
    <t>Gemma3 (12B)</t>
  </si>
  <si>
    <t>GPT-OSS (120B)</t>
  </si>
  <si>
    <r>
      <rPr>
        <b/>
        <sz val="11"/>
        <rFont val="Cambria"/>
        <family val="1"/>
      </rPr>
      <t xml:space="preserve">Llama3.2 </t>
    </r>
    <r>
      <rPr>
        <b/>
        <sz val="11"/>
        <rFont val="Cambria"/>
        <family val="1"/>
      </rPr>
      <t>(3B)</t>
    </r>
  </si>
  <si>
    <r>
      <rPr>
        <b/>
        <sz val="11"/>
        <rFont val="Cambria"/>
        <family val="1"/>
      </rPr>
      <t xml:space="preserve">Mistral-nemo </t>
    </r>
    <r>
      <rPr>
        <b/>
        <sz val="11"/>
        <rFont val="Cambria"/>
        <family val="1"/>
      </rPr>
      <t>(12B)</t>
    </r>
  </si>
  <si>
    <r>
      <rPr>
        <b/>
        <sz val="11"/>
        <rFont val="Cambria"/>
        <family val="1"/>
      </rPr>
      <t xml:space="preserve">Nemotron-mini </t>
    </r>
    <r>
      <rPr>
        <b/>
        <sz val="11"/>
        <rFont val="Cambria"/>
        <family val="1"/>
      </rPr>
      <t>(4B)</t>
    </r>
  </si>
  <si>
    <r>
      <rPr>
        <b/>
        <sz val="11"/>
        <rFont val="Cambria"/>
        <family val="1"/>
      </rPr>
      <t xml:space="preserve">Phi4 </t>
    </r>
    <r>
      <rPr>
        <b/>
        <sz val="11"/>
        <rFont val="Cambria"/>
        <family val="1"/>
      </rPr>
      <t>(14B)</t>
    </r>
  </si>
  <si>
    <r>
      <rPr>
        <b/>
        <sz val="11"/>
        <rFont val="Cambria"/>
        <family val="1"/>
      </rPr>
      <t xml:space="preserve">Qwen3 </t>
    </r>
    <r>
      <rPr>
        <b/>
        <sz val="11"/>
        <rFont val="Cambria"/>
        <family val="1"/>
      </rPr>
      <t>(8B)</t>
    </r>
  </si>
  <si>
    <t>beginners</t>
  </si>
  <si>
    <t>avg_param_accuracy</t>
  </si>
  <si>
    <t>avg_tool_selection</t>
  </si>
  <si>
    <t>combined_perfect</t>
  </si>
  <si>
    <t>latency_mean</t>
  </si>
  <si>
    <t>param_extraction_perfect</t>
  </si>
  <si>
    <t>total_tests</t>
  </si>
  <si>
    <t xml:space="preserve"> </t>
  </si>
  <si>
    <t>expert vocab</t>
  </si>
  <si>
    <t>french</t>
  </si>
  <si>
    <t>long</t>
  </si>
  <si>
    <t>missingparam</t>
  </si>
  <si>
    <t>normal vocab</t>
  </si>
  <si>
    <t>portuguese</t>
  </si>
  <si>
    <t>short</t>
  </si>
  <si>
    <t>spanish</t>
  </si>
  <si>
    <t>total</t>
  </si>
  <si>
    <t>average_total_tool</t>
  </si>
  <si>
    <t>average_total_param</t>
  </si>
  <si>
    <t>average_latency</t>
  </si>
  <si>
    <t>total_perfects</t>
  </si>
  <si>
    <t>average langue</t>
  </si>
  <si>
    <t>Tool Selection Accuracy</t>
  </si>
  <si>
    <t>Parameters Extraction Accuracy</t>
  </si>
  <si>
    <t>Mean latency</t>
  </si>
  <si>
    <t>claude-sonnet-4.6</t>
  </si>
  <si>
    <t>N/A</t>
  </si>
  <si>
    <t>claude-opus-4.8</t>
  </si>
  <si>
    <t>alibayram/medgemma:27b</t>
  </si>
  <si>
    <t>alibayram/medgemma:latest</t>
  </si>
  <si>
    <t>Claude Sonnet 4.6</t>
  </si>
  <si>
    <t>Claude Opus 4.8</t>
  </si>
  <si>
    <t>Med-Gemma (27B)</t>
  </si>
  <si>
    <t>Med-Gemma (8B)</t>
  </si>
  <si>
    <t>Total Success (Tested on 253 queries)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</si>
</sst>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0" fontId="2" fillId="0" borderId="1" xfId="0" applyFont="1" applyBorder="1" applyAlignment="1">
      <alignment horizontal="center" vertical="top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"/>
  <sheetViews>
    <sheetView tabSelected="1" zoomScale="109" zoomScaleNormal="100" workbookViewId="0">
      <selection activeCell="D102" sqref="D102"/>
    </sheetView>
  </sheetViews>
  <sheetFormatPr baseColWidth="10" defaultColWidth="8.5" defaultRowHeight="15" x14ac:dyDescent="0.2"/>
  <cols>
    <col min="1" max="1" width="10.5" customWidth="1"/>
    <col min="2" max="2" width="28.83203125" customWidth="1"/>
    <col min="3" max="4" width="18.1640625" customWidth="1"/>
    <col min="5" max="5" width="17.1640625" customWidth="1"/>
    <col min="6" max="6" width="15.33203125" customWidth="1"/>
    <col min="7" max="7" width="19.83203125" customWidth="1"/>
    <col min="8" max="8" width="21.33203125" customWidth="1"/>
    <col min="9" max="9" width="18.6640625" customWidth="1"/>
    <col min="10" max="10" width="18.5" customWidth="1"/>
    <col min="11" max="11" width="19.6640625" customWidth="1"/>
    <col min="12" max="12" width="15" customWidth="1"/>
    <col min="13" max="13" width="20.6640625" customWidth="1"/>
    <col min="14" max="14" width="17.5" customWidth="1"/>
  </cols>
  <sheetData>
    <row r="1" spans="1:14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34</v>
      </c>
      <c r="L1" s="4" t="s">
        <v>36</v>
      </c>
      <c r="M1" s="6" t="s">
        <v>37</v>
      </c>
      <c r="N1" s="6" t="s">
        <v>38</v>
      </c>
    </row>
    <row r="2" spans="1:14" x14ac:dyDescent="0.2">
      <c r="A2" s="7" t="s">
        <v>9</v>
      </c>
      <c r="B2" s="1" t="s">
        <v>10</v>
      </c>
      <c r="C2">
        <v>0.74299999999999999</v>
      </c>
      <c r="D2">
        <v>0.748</v>
      </c>
      <c r="E2">
        <v>0.76500000000000001</v>
      </c>
      <c r="F2">
        <v>0</v>
      </c>
      <c r="G2">
        <v>0.57599999999999996</v>
      </c>
      <c r="H2">
        <v>0</v>
      </c>
      <c r="I2">
        <v>0.69699999999999995</v>
      </c>
      <c r="J2">
        <v>0.79200000000000004</v>
      </c>
      <c r="K2">
        <v>0.86399999999999999</v>
      </c>
      <c r="L2" s="5">
        <v>0.86799999999999999</v>
      </c>
      <c r="M2" s="5">
        <v>0.74</v>
      </c>
      <c r="N2" s="5">
        <v>0.69399999999999995</v>
      </c>
    </row>
    <row r="3" spans="1:14" x14ac:dyDescent="0.2">
      <c r="A3" s="7"/>
      <c r="B3" s="1" t="s">
        <v>11</v>
      </c>
      <c r="C3">
        <v>0.89100000000000001</v>
      </c>
      <c r="D3">
        <v>0.87</v>
      </c>
      <c r="E3">
        <v>0.87</v>
      </c>
      <c r="F3">
        <v>0.78300000000000003</v>
      </c>
      <c r="G3">
        <v>0.71699999999999997</v>
      </c>
      <c r="H3">
        <v>0.71099999999999997</v>
      </c>
      <c r="I3">
        <v>0.87</v>
      </c>
      <c r="J3">
        <v>0.93300000000000005</v>
      </c>
      <c r="K3">
        <v>1</v>
      </c>
      <c r="L3" s="5">
        <v>1</v>
      </c>
      <c r="M3" s="5">
        <v>0.91300000000000003</v>
      </c>
      <c r="N3" s="5">
        <v>0.80400000000000005</v>
      </c>
    </row>
    <row r="4" spans="1:14" x14ac:dyDescent="0.2">
      <c r="A4" s="7"/>
      <c r="B4" s="1" t="s">
        <v>12</v>
      </c>
      <c r="C4">
        <v>20</v>
      </c>
      <c r="D4">
        <v>21</v>
      </c>
      <c r="E4">
        <v>20</v>
      </c>
      <c r="F4">
        <v>0</v>
      </c>
      <c r="G4">
        <v>16</v>
      </c>
      <c r="H4">
        <v>0</v>
      </c>
      <c r="I4">
        <v>20</v>
      </c>
      <c r="J4">
        <v>22</v>
      </c>
      <c r="K4">
        <v>24</v>
      </c>
      <c r="L4" s="5">
        <v>25</v>
      </c>
      <c r="M4" s="5">
        <v>22</v>
      </c>
      <c r="N4" s="5">
        <v>21</v>
      </c>
    </row>
    <row r="5" spans="1:14" x14ac:dyDescent="0.2">
      <c r="A5" s="7"/>
      <c r="B5" s="1" t="s">
        <v>13</v>
      </c>
      <c r="C5">
        <v>51.103999999999999</v>
      </c>
      <c r="D5">
        <v>3.903</v>
      </c>
      <c r="E5">
        <v>41.128</v>
      </c>
      <c r="F5">
        <v>1.3959999999999999</v>
      </c>
      <c r="G5">
        <v>2.7240000000000002</v>
      </c>
      <c r="H5">
        <v>1.861</v>
      </c>
      <c r="I5">
        <v>4.1890000000000001</v>
      </c>
      <c r="J5">
        <v>12.852</v>
      </c>
      <c r="K5" t="s">
        <v>35</v>
      </c>
      <c r="L5" s="5" t="s">
        <v>35</v>
      </c>
      <c r="M5" s="5">
        <v>9.8879999999999999</v>
      </c>
      <c r="N5" s="5">
        <v>3.585</v>
      </c>
    </row>
    <row r="6" spans="1:14" x14ac:dyDescent="0.2">
      <c r="A6" s="7"/>
      <c r="B6" s="1" t="s">
        <v>14</v>
      </c>
      <c r="C6">
        <v>20</v>
      </c>
      <c r="D6">
        <v>21</v>
      </c>
      <c r="E6">
        <v>20</v>
      </c>
      <c r="F6">
        <v>0</v>
      </c>
      <c r="G6">
        <v>16</v>
      </c>
      <c r="H6">
        <v>0</v>
      </c>
      <c r="I6">
        <v>20</v>
      </c>
      <c r="J6">
        <v>22</v>
      </c>
      <c r="K6">
        <v>24</v>
      </c>
      <c r="L6" s="5">
        <v>25</v>
      </c>
      <c r="M6" s="5">
        <v>22</v>
      </c>
      <c r="N6" s="5">
        <v>21</v>
      </c>
    </row>
    <row r="7" spans="1:14" x14ac:dyDescent="0.2">
      <c r="A7" s="7"/>
      <c r="B7" s="1" t="s">
        <v>15</v>
      </c>
      <c r="C7">
        <v>46</v>
      </c>
      <c r="D7">
        <v>46</v>
      </c>
      <c r="E7">
        <v>46</v>
      </c>
      <c r="F7">
        <v>46</v>
      </c>
      <c r="G7">
        <v>46</v>
      </c>
      <c r="H7">
        <v>46</v>
      </c>
      <c r="I7">
        <v>46</v>
      </c>
      <c r="J7">
        <v>46</v>
      </c>
      <c r="K7">
        <v>46</v>
      </c>
      <c r="L7" s="5">
        <v>46</v>
      </c>
      <c r="M7" s="5">
        <v>46</v>
      </c>
      <c r="N7" s="5">
        <v>46</v>
      </c>
    </row>
    <row r="8" spans="1:14" x14ac:dyDescent="0.2">
      <c r="A8" s="1" t="s">
        <v>16</v>
      </c>
      <c r="B8" s="1" t="s">
        <v>16</v>
      </c>
      <c r="L8" s="5"/>
      <c r="M8" s="5"/>
      <c r="N8" s="5"/>
    </row>
    <row r="9" spans="1:14" x14ac:dyDescent="0.2">
      <c r="A9" s="7" t="s">
        <v>17</v>
      </c>
      <c r="B9" s="1" t="s">
        <v>10</v>
      </c>
      <c r="C9">
        <v>0.84699999999999998</v>
      </c>
      <c r="D9">
        <v>0.89300000000000002</v>
      </c>
      <c r="E9">
        <v>0.88900000000000001</v>
      </c>
      <c r="F9">
        <v>0</v>
      </c>
      <c r="G9">
        <v>0.79800000000000004</v>
      </c>
      <c r="H9">
        <v>0</v>
      </c>
      <c r="I9">
        <v>0.85199999999999998</v>
      </c>
      <c r="J9">
        <v>0.83699999999999997</v>
      </c>
      <c r="K9">
        <v>0.88900000000000001</v>
      </c>
      <c r="L9" s="5">
        <v>0.88900000000000001</v>
      </c>
      <c r="M9" s="5">
        <v>0.84499999999999997</v>
      </c>
      <c r="N9" s="5">
        <v>0.875</v>
      </c>
    </row>
    <row r="10" spans="1:14" x14ac:dyDescent="0.2">
      <c r="A10" s="7"/>
      <c r="B10" s="1" t="s">
        <v>11</v>
      </c>
      <c r="C10">
        <v>0.95699999999999996</v>
      </c>
      <c r="D10">
        <v>1</v>
      </c>
      <c r="E10">
        <v>1</v>
      </c>
      <c r="F10">
        <v>0.95699999999999996</v>
      </c>
      <c r="G10">
        <v>0.91300000000000003</v>
      </c>
      <c r="H10">
        <v>0.72699999999999998</v>
      </c>
      <c r="I10">
        <v>1</v>
      </c>
      <c r="J10">
        <v>0.95699999999999996</v>
      </c>
      <c r="K10">
        <v>1</v>
      </c>
      <c r="L10" s="5">
        <v>1</v>
      </c>
      <c r="M10" s="5">
        <v>1</v>
      </c>
      <c r="N10" s="5">
        <v>1</v>
      </c>
    </row>
    <row r="11" spans="1:14" x14ac:dyDescent="0.2">
      <c r="A11" s="7"/>
      <c r="B11" s="1" t="s">
        <v>12</v>
      </c>
      <c r="C11">
        <v>11</v>
      </c>
      <c r="D11">
        <v>13</v>
      </c>
      <c r="E11">
        <v>13</v>
      </c>
      <c r="F11">
        <v>0</v>
      </c>
      <c r="G11">
        <v>11</v>
      </c>
      <c r="H11">
        <v>0</v>
      </c>
      <c r="I11">
        <v>13</v>
      </c>
      <c r="J11">
        <v>12</v>
      </c>
      <c r="K11">
        <v>13</v>
      </c>
      <c r="L11" s="5">
        <v>13</v>
      </c>
      <c r="M11" s="5">
        <v>13</v>
      </c>
      <c r="N11" s="5">
        <v>14</v>
      </c>
    </row>
    <row r="12" spans="1:14" x14ac:dyDescent="0.2">
      <c r="A12" s="7"/>
      <c r="B12" s="1" t="s">
        <v>13</v>
      </c>
      <c r="C12">
        <v>52.875999999999998</v>
      </c>
      <c r="D12">
        <v>4.5190000000000001</v>
      </c>
      <c r="E12">
        <v>43.875</v>
      </c>
      <c r="F12">
        <v>1.429</v>
      </c>
      <c r="G12">
        <v>3.0379999999999998</v>
      </c>
      <c r="H12">
        <v>1.9379999999999999</v>
      </c>
      <c r="I12">
        <v>4.3250000000000002</v>
      </c>
      <c r="J12">
        <v>17.803999999999998</v>
      </c>
      <c r="K12" t="s">
        <v>35</v>
      </c>
      <c r="L12" s="5" t="s">
        <v>35</v>
      </c>
      <c r="M12" s="5">
        <v>9.843</v>
      </c>
      <c r="N12" s="5">
        <v>3.6669999999999998</v>
      </c>
    </row>
    <row r="13" spans="1:14" x14ac:dyDescent="0.2">
      <c r="A13" s="7"/>
      <c r="B13" s="1" t="s">
        <v>14</v>
      </c>
      <c r="C13">
        <v>11</v>
      </c>
      <c r="D13">
        <v>13</v>
      </c>
      <c r="E13">
        <v>13</v>
      </c>
      <c r="F13">
        <v>0</v>
      </c>
      <c r="G13">
        <v>11</v>
      </c>
      <c r="H13">
        <v>0</v>
      </c>
      <c r="I13">
        <v>13</v>
      </c>
      <c r="J13">
        <v>12</v>
      </c>
      <c r="K13">
        <v>13</v>
      </c>
      <c r="L13" s="5">
        <v>13</v>
      </c>
      <c r="M13" s="5">
        <v>13</v>
      </c>
      <c r="N13" s="5">
        <v>14</v>
      </c>
    </row>
    <row r="14" spans="1:14" x14ac:dyDescent="0.2">
      <c r="A14" s="7"/>
      <c r="B14" s="1" t="s">
        <v>15</v>
      </c>
      <c r="C14">
        <v>23</v>
      </c>
      <c r="D14">
        <v>23</v>
      </c>
      <c r="E14">
        <v>23</v>
      </c>
      <c r="F14">
        <v>23</v>
      </c>
      <c r="G14">
        <v>23</v>
      </c>
      <c r="H14">
        <v>23</v>
      </c>
      <c r="I14">
        <v>23</v>
      </c>
      <c r="J14">
        <v>23</v>
      </c>
      <c r="K14">
        <v>23</v>
      </c>
      <c r="L14" s="5">
        <v>23</v>
      </c>
      <c r="M14" s="5">
        <v>23</v>
      </c>
      <c r="N14" s="5">
        <v>23</v>
      </c>
    </row>
    <row r="15" spans="1:14" x14ac:dyDescent="0.2">
      <c r="A15" s="1" t="s">
        <v>16</v>
      </c>
      <c r="B15" s="1" t="s">
        <v>16</v>
      </c>
      <c r="L15" s="5"/>
      <c r="M15" s="5"/>
      <c r="N15" s="5"/>
    </row>
    <row r="16" spans="1:14" x14ac:dyDescent="0.2">
      <c r="A16" s="7" t="s">
        <v>18</v>
      </c>
      <c r="B16" s="1" t="s">
        <v>10</v>
      </c>
      <c r="C16">
        <v>0.79500000000000004</v>
      </c>
      <c r="D16">
        <v>0.753</v>
      </c>
      <c r="E16">
        <v>0.84399999999999997</v>
      </c>
      <c r="F16">
        <v>0</v>
      </c>
      <c r="G16">
        <v>0.70799999999999996</v>
      </c>
      <c r="H16">
        <v>0</v>
      </c>
      <c r="I16">
        <v>0.75900000000000001</v>
      </c>
      <c r="J16">
        <v>0.82499999999999996</v>
      </c>
      <c r="K16">
        <v>0.61199999999999999</v>
      </c>
      <c r="L16" s="5">
        <v>0.61199999999999999</v>
      </c>
      <c r="M16" s="5">
        <v>0.79600000000000004</v>
      </c>
      <c r="N16" s="5">
        <v>0.74399999999999999</v>
      </c>
    </row>
    <row r="17" spans="1:14" x14ac:dyDescent="0.2">
      <c r="A17" s="7"/>
      <c r="B17" s="1" t="s">
        <v>11</v>
      </c>
      <c r="C17">
        <v>0.95699999999999996</v>
      </c>
      <c r="D17">
        <v>0.91300000000000003</v>
      </c>
      <c r="E17">
        <v>1</v>
      </c>
      <c r="F17">
        <v>0.87</v>
      </c>
      <c r="G17">
        <v>0.87</v>
      </c>
      <c r="H17">
        <v>0.60899999999999999</v>
      </c>
      <c r="I17">
        <v>0.95699999999999996</v>
      </c>
      <c r="J17">
        <v>1</v>
      </c>
      <c r="K17">
        <v>1</v>
      </c>
      <c r="L17" s="5">
        <v>1</v>
      </c>
      <c r="M17" s="5">
        <v>1</v>
      </c>
      <c r="N17" s="5">
        <v>0.90900000000000003</v>
      </c>
    </row>
    <row r="18" spans="1:14" x14ac:dyDescent="0.2">
      <c r="A18" s="7"/>
      <c r="B18" s="1" t="s">
        <v>12</v>
      </c>
      <c r="C18">
        <v>10</v>
      </c>
      <c r="D18">
        <v>9</v>
      </c>
      <c r="E18">
        <v>11</v>
      </c>
      <c r="F18">
        <v>0</v>
      </c>
      <c r="G18">
        <v>8</v>
      </c>
      <c r="H18">
        <v>0</v>
      </c>
      <c r="I18">
        <v>10</v>
      </c>
      <c r="J18">
        <v>10</v>
      </c>
      <c r="K18">
        <v>0</v>
      </c>
      <c r="L18" s="5">
        <v>0</v>
      </c>
      <c r="M18" s="5">
        <v>11</v>
      </c>
      <c r="N18" s="5">
        <v>10</v>
      </c>
    </row>
    <row r="19" spans="1:14" x14ac:dyDescent="0.2">
      <c r="A19" s="7"/>
      <c r="B19" s="1" t="s">
        <v>13</v>
      </c>
      <c r="C19">
        <v>53.311</v>
      </c>
      <c r="D19">
        <v>4.3129999999999997</v>
      </c>
      <c r="E19">
        <v>43.256</v>
      </c>
      <c r="F19">
        <v>1.46</v>
      </c>
      <c r="G19">
        <v>2.8359999999999999</v>
      </c>
      <c r="H19">
        <v>1.8460000000000001</v>
      </c>
      <c r="I19">
        <v>4.0209999999999999</v>
      </c>
      <c r="J19">
        <v>10.586</v>
      </c>
      <c r="K19" t="s">
        <v>35</v>
      </c>
      <c r="L19" s="5" t="s">
        <v>35</v>
      </c>
      <c r="M19" s="5">
        <v>9.7629999999999999</v>
      </c>
      <c r="N19" s="5">
        <v>3.6509999999999998</v>
      </c>
    </row>
    <row r="20" spans="1:14" x14ac:dyDescent="0.2">
      <c r="A20" s="7"/>
      <c r="B20" s="1" t="s">
        <v>14</v>
      </c>
      <c r="C20">
        <v>10</v>
      </c>
      <c r="D20">
        <v>9</v>
      </c>
      <c r="E20">
        <v>11</v>
      </c>
      <c r="F20">
        <v>0</v>
      </c>
      <c r="G20">
        <v>8</v>
      </c>
      <c r="H20">
        <v>0</v>
      </c>
      <c r="I20">
        <v>10</v>
      </c>
      <c r="J20">
        <v>10</v>
      </c>
      <c r="K20">
        <v>0</v>
      </c>
      <c r="L20" s="5">
        <v>0</v>
      </c>
      <c r="M20" s="5">
        <v>11</v>
      </c>
      <c r="N20" s="5">
        <v>10</v>
      </c>
    </row>
    <row r="21" spans="1:14" x14ac:dyDescent="0.2">
      <c r="A21" s="7"/>
      <c r="B21" s="1" t="s">
        <v>15</v>
      </c>
      <c r="C21">
        <v>23</v>
      </c>
      <c r="D21">
        <v>23</v>
      </c>
      <c r="E21">
        <v>23</v>
      </c>
      <c r="F21">
        <v>23</v>
      </c>
      <c r="G21">
        <v>23</v>
      </c>
      <c r="H21">
        <v>23</v>
      </c>
      <c r="I21">
        <v>23</v>
      </c>
      <c r="J21">
        <v>23</v>
      </c>
      <c r="K21">
        <v>23</v>
      </c>
      <c r="L21" s="5">
        <v>23</v>
      </c>
      <c r="M21" s="5">
        <v>23</v>
      </c>
      <c r="N21" s="5">
        <v>23</v>
      </c>
    </row>
    <row r="22" spans="1:14" x14ac:dyDescent="0.2">
      <c r="A22" s="1" t="s">
        <v>16</v>
      </c>
      <c r="B22" s="1" t="s">
        <v>16</v>
      </c>
      <c r="L22" s="5"/>
      <c r="M22" s="5"/>
      <c r="N22" s="5"/>
    </row>
    <row r="23" spans="1:14" x14ac:dyDescent="0.2">
      <c r="A23" s="7" t="s">
        <v>19</v>
      </c>
      <c r="B23" s="1" t="s">
        <v>10</v>
      </c>
      <c r="C23">
        <v>0.85899999999999999</v>
      </c>
      <c r="D23">
        <v>0.89800000000000002</v>
      </c>
      <c r="E23">
        <v>0.86799999999999999</v>
      </c>
      <c r="F23">
        <v>0</v>
      </c>
      <c r="G23">
        <v>0.878</v>
      </c>
      <c r="H23">
        <v>0</v>
      </c>
      <c r="I23">
        <v>0.91700000000000004</v>
      </c>
      <c r="J23">
        <v>0.93899999999999995</v>
      </c>
      <c r="K23">
        <v>0.96499999999999997</v>
      </c>
      <c r="L23" s="5">
        <v>0.96499999999999997</v>
      </c>
      <c r="M23" s="5">
        <v>0.90700000000000003</v>
      </c>
      <c r="N23" s="5">
        <v>0.88500000000000001</v>
      </c>
    </row>
    <row r="24" spans="1:14" x14ac:dyDescent="0.2">
      <c r="A24" s="7"/>
      <c r="B24" s="1" t="s">
        <v>11</v>
      </c>
      <c r="C24">
        <v>1</v>
      </c>
      <c r="D24">
        <v>0.95499999999999996</v>
      </c>
      <c r="E24">
        <v>0.91300000000000003</v>
      </c>
      <c r="F24">
        <v>0.91300000000000003</v>
      </c>
      <c r="G24">
        <v>0.95699999999999996</v>
      </c>
      <c r="H24">
        <v>0.81799999999999995</v>
      </c>
      <c r="I24">
        <v>1</v>
      </c>
      <c r="J24">
        <v>1</v>
      </c>
      <c r="K24">
        <v>1</v>
      </c>
      <c r="L24" s="5">
        <v>1</v>
      </c>
      <c r="M24" s="5">
        <v>1</v>
      </c>
      <c r="N24" s="5">
        <v>1</v>
      </c>
    </row>
    <row r="25" spans="1:14" x14ac:dyDescent="0.2">
      <c r="A25" s="7"/>
      <c r="B25" s="1" t="s">
        <v>12</v>
      </c>
      <c r="C25">
        <v>16</v>
      </c>
      <c r="D25">
        <v>8</v>
      </c>
      <c r="E25">
        <v>16</v>
      </c>
      <c r="F25">
        <v>0</v>
      </c>
      <c r="G25">
        <v>15</v>
      </c>
      <c r="H25">
        <v>0</v>
      </c>
      <c r="I25">
        <v>12</v>
      </c>
      <c r="J25">
        <v>15</v>
      </c>
      <c r="K25">
        <v>41</v>
      </c>
      <c r="L25" s="5">
        <v>41</v>
      </c>
      <c r="M25" s="5">
        <v>15</v>
      </c>
      <c r="N25" s="5">
        <v>10</v>
      </c>
    </row>
    <row r="26" spans="1:14" x14ac:dyDescent="0.2">
      <c r="A26" s="7"/>
      <c r="B26" s="1" t="s">
        <v>13</v>
      </c>
      <c r="C26">
        <v>50.121000000000002</v>
      </c>
      <c r="D26">
        <v>4.319</v>
      </c>
      <c r="E26">
        <v>38.912999999999997</v>
      </c>
      <c r="F26">
        <v>1.4390000000000001</v>
      </c>
      <c r="G26">
        <v>2.8839999999999999</v>
      </c>
      <c r="H26">
        <v>1.867</v>
      </c>
      <c r="I26">
        <v>4.2069999999999999</v>
      </c>
      <c r="J26">
        <v>9.42</v>
      </c>
      <c r="K26" t="s">
        <v>35</v>
      </c>
      <c r="L26" s="5" t="s">
        <v>35</v>
      </c>
      <c r="M26" s="5">
        <v>9.4870000000000001</v>
      </c>
      <c r="N26" s="5">
        <v>6.0490000000000004</v>
      </c>
    </row>
    <row r="27" spans="1:14" x14ac:dyDescent="0.2">
      <c r="A27" s="7"/>
      <c r="B27" s="1" t="s">
        <v>14</v>
      </c>
      <c r="C27">
        <v>16</v>
      </c>
      <c r="D27">
        <v>8</v>
      </c>
      <c r="E27">
        <v>16</v>
      </c>
      <c r="F27">
        <v>0</v>
      </c>
      <c r="G27">
        <v>15</v>
      </c>
      <c r="H27">
        <v>0</v>
      </c>
      <c r="I27">
        <v>12</v>
      </c>
      <c r="J27">
        <v>15</v>
      </c>
      <c r="K27">
        <v>41</v>
      </c>
      <c r="L27" s="5">
        <v>41</v>
      </c>
      <c r="M27" s="5">
        <v>15</v>
      </c>
      <c r="N27" s="5">
        <v>10</v>
      </c>
    </row>
    <row r="28" spans="1:14" x14ac:dyDescent="0.2">
      <c r="A28" s="7"/>
      <c r="B28" s="1" t="s">
        <v>15</v>
      </c>
      <c r="C28">
        <v>23</v>
      </c>
      <c r="D28">
        <v>23</v>
      </c>
      <c r="E28">
        <v>23</v>
      </c>
      <c r="F28">
        <v>23</v>
      </c>
      <c r="G28">
        <v>23</v>
      </c>
      <c r="H28">
        <v>23</v>
      </c>
      <c r="I28">
        <v>23</v>
      </c>
      <c r="J28">
        <v>23</v>
      </c>
      <c r="K28">
        <v>46</v>
      </c>
      <c r="L28" s="5">
        <v>46</v>
      </c>
      <c r="M28" s="5">
        <v>23</v>
      </c>
      <c r="N28" s="5">
        <v>23</v>
      </c>
    </row>
    <row r="29" spans="1:14" x14ac:dyDescent="0.2">
      <c r="A29" s="1" t="s">
        <v>16</v>
      </c>
      <c r="B29" s="1" t="s">
        <v>16</v>
      </c>
      <c r="L29" s="5"/>
      <c r="M29" s="5"/>
      <c r="N29" s="5"/>
    </row>
    <row r="30" spans="1:14" x14ac:dyDescent="0.2">
      <c r="A30" s="7" t="s">
        <v>20</v>
      </c>
      <c r="B30" s="1" t="s">
        <v>10</v>
      </c>
      <c r="C30">
        <v>0.82220000000000004</v>
      </c>
      <c r="D30">
        <v>0.81820000000000004</v>
      </c>
      <c r="E30">
        <v>0.83720000000000006</v>
      </c>
      <c r="F30">
        <v>0</v>
      </c>
      <c r="G30">
        <v>0.82140000000000002</v>
      </c>
      <c r="H30">
        <v>0</v>
      </c>
      <c r="I30">
        <v>0.8</v>
      </c>
      <c r="J30">
        <v>0.78180000000000005</v>
      </c>
      <c r="K30">
        <v>0.85799999999999998</v>
      </c>
      <c r="L30" s="5">
        <v>0.85799999999999998</v>
      </c>
      <c r="M30" s="5">
        <v>0.55900000000000005</v>
      </c>
      <c r="N30" s="5">
        <v>0.442</v>
      </c>
    </row>
    <row r="31" spans="1:14" x14ac:dyDescent="0.2">
      <c r="A31" s="7"/>
      <c r="B31" s="1" t="s">
        <v>11</v>
      </c>
      <c r="C31">
        <v>0.91300000000000003</v>
      </c>
      <c r="D31">
        <v>0.95699999999999996</v>
      </c>
      <c r="E31">
        <v>0.78300000000000003</v>
      </c>
      <c r="F31">
        <v>0.82599999999999996</v>
      </c>
      <c r="G31">
        <v>0.56499999999999995</v>
      </c>
      <c r="H31">
        <v>0.69599999999999995</v>
      </c>
      <c r="I31">
        <v>0.73899999999999999</v>
      </c>
      <c r="J31">
        <v>0.91300000000000003</v>
      </c>
      <c r="K31">
        <v>1</v>
      </c>
      <c r="L31" s="5">
        <v>1</v>
      </c>
      <c r="M31" s="5">
        <v>0.95699999999999996</v>
      </c>
      <c r="N31" s="5">
        <v>0.73899999999999999</v>
      </c>
    </row>
    <row r="32" spans="1:14" x14ac:dyDescent="0.2">
      <c r="A32" s="7"/>
      <c r="B32" s="1" t="s">
        <v>12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12</v>
      </c>
      <c r="L32" s="5">
        <v>12</v>
      </c>
      <c r="M32" s="5">
        <v>0</v>
      </c>
      <c r="N32" s="5">
        <v>0</v>
      </c>
    </row>
    <row r="33" spans="1:14" x14ac:dyDescent="0.2">
      <c r="A33" s="7"/>
      <c r="B33" s="1" t="s">
        <v>13</v>
      </c>
      <c r="C33">
        <v>44.179000000000002</v>
      </c>
      <c r="D33">
        <v>3.41</v>
      </c>
      <c r="E33">
        <v>35.692999999999998</v>
      </c>
      <c r="F33">
        <v>1.323</v>
      </c>
      <c r="G33">
        <v>1.875</v>
      </c>
      <c r="H33">
        <v>1.79</v>
      </c>
      <c r="I33">
        <v>3.2770000000000001</v>
      </c>
      <c r="J33">
        <v>10.659000000000001</v>
      </c>
      <c r="K33" t="s">
        <v>35</v>
      </c>
      <c r="L33" s="5" t="s">
        <v>35</v>
      </c>
      <c r="M33" s="5">
        <v>8.0020000000000007</v>
      </c>
      <c r="N33" s="5">
        <v>3.5030000000000001</v>
      </c>
    </row>
    <row r="34" spans="1:14" x14ac:dyDescent="0.2">
      <c r="A34" s="7"/>
      <c r="B34" s="1" t="s">
        <v>14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12</v>
      </c>
      <c r="L34" s="5">
        <v>12</v>
      </c>
      <c r="M34" s="5">
        <v>0</v>
      </c>
      <c r="N34" s="5">
        <v>0</v>
      </c>
    </row>
    <row r="35" spans="1:14" x14ac:dyDescent="0.2">
      <c r="A35" s="7"/>
      <c r="B35" s="1" t="s">
        <v>15</v>
      </c>
      <c r="C35">
        <v>23</v>
      </c>
      <c r="D35">
        <v>23</v>
      </c>
      <c r="E35">
        <v>23</v>
      </c>
      <c r="F35">
        <v>23</v>
      </c>
      <c r="G35">
        <v>23</v>
      </c>
      <c r="H35">
        <v>23</v>
      </c>
      <c r="I35">
        <v>23</v>
      </c>
      <c r="J35">
        <v>23</v>
      </c>
      <c r="K35">
        <v>23</v>
      </c>
      <c r="L35" s="5">
        <v>23</v>
      </c>
      <c r="M35" s="5">
        <v>23</v>
      </c>
      <c r="N35" s="5">
        <v>23</v>
      </c>
    </row>
    <row r="36" spans="1:14" x14ac:dyDescent="0.2">
      <c r="A36" s="1" t="s">
        <v>16</v>
      </c>
      <c r="B36" s="1" t="s">
        <v>16</v>
      </c>
      <c r="L36" s="5"/>
      <c r="M36" s="5"/>
      <c r="N36" s="5"/>
    </row>
    <row r="37" spans="1:14" x14ac:dyDescent="0.2">
      <c r="A37" s="7" t="s">
        <v>21</v>
      </c>
      <c r="B37" s="1" t="s">
        <v>10</v>
      </c>
      <c r="C37">
        <v>0.89600000000000002</v>
      </c>
      <c r="D37">
        <v>0.93</v>
      </c>
      <c r="E37">
        <v>0.95599999999999996</v>
      </c>
      <c r="F37">
        <v>0</v>
      </c>
      <c r="G37">
        <v>0.82799999999999996</v>
      </c>
      <c r="H37">
        <v>0</v>
      </c>
      <c r="I37">
        <v>0.90400000000000003</v>
      </c>
      <c r="J37">
        <v>0.94099999999999995</v>
      </c>
      <c r="K37">
        <v>0.85799999999999998</v>
      </c>
      <c r="L37" s="5">
        <v>0.85799999999999998</v>
      </c>
      <c r="M37" s="5">
        <v>0.88500000000000001</v>
      </c>
      <c r="N37" s="5">
        <v>0.83499999999999996</v>
      </c>
    </row>
    <row r="38" spans="1:14" x14ac:dyDescent="0.2">
      <c r="A38" s="7"/>
      <c r="B38" s="1" t="s">
        <v>11</v>
      </c>
      <c r="C38">
        <v>1</v>
      </c>
      <c r="D38">
        <v>0.97799999999999998</v>
      </c>
      <c r="E38">
        <v>1</v>
      </c>
      <c r="F38">
        <v>0.93500000000000005</v>
      </c>
      <c r="G38">
        <v>0.95699999999999996</v>
      </c>
      <c r="H38">
        <v>0.89100000000000001</v>
      </c>
      <c r="I38">
        <v>1</v>
      </c>
      <c r="J38">
        <v>1</v>
      </c>
      <c r="K38">
        <v>1</v>
      </c>
      <c r="L38" s="5">
        <v>1</v>
      </c>
      <c r="M38" s="5">
        <v>1</v>
      </c>
      <c r="N38" s="5">
        <v>0.95699999999999996</v>
      </c>
    </row>
    <row r="39" spans="1:14" x14ac:dyDescent="0.2">
      <c r="A39" s="7"/>
      <c r="B39" s="1" t="s">
        <v>12</v>
      </c>
      <c r="C39">
        <v>34</v>
      </c>
      <c r="D39">
        <v>38</v>
      </c>
      <c r="E39">
        <v>39</v>
      </c>
      <c r="F39">
        <v>0</v>
      </c>
      <c r="G39">
        <v>32</v>
      </c>
      <c r="H39">
        <v>0</v>
      </c>
      <c r="I39">
        <v>35</v>
      </c>
      <c r="J39">
        <v>37</v>
      </c>
      <c r="K39">
        <v>12</v>
      </c>
      <c r="L39" s="5">
        <v>12</v>
      </c>
      <c r="M39" s="5">
        <v>32</v>
      </c>
      <c r="N39" s="5">
        <v>33</v>
      </c>
    </row>
    <row r="40" spans="1:14" x14ac:dyDescent="0.2">
      <c r="A40" s="7"/>
      <c r="B40" s="1" t="s">
        <v>13</v>
      </c>
      <c r="C40">
        <v>51.904000000000003</v>
      </c>
      <c r="D40">
        <v>3.9169999999999998</v>
      </c>
      <c r="E40">
        <v>39.052999999999997</v>
      </c>
      <c r="F40">
        <v>1.27</v>
      </c>
      <c r="G40">
        <v>2.7490000000000001</v>
      </c>
      <c r="H40">
        <v>1.798</v>
      </c>
      <c r="I40">
        <v>4.0720000000000001</v>
      </c>
      <c r="J40">
        <v>9.0030000000000001</v>
      </c>
      <c r="K40" t="s">
        <v>35</v>
      </c>
      <c r="L40" s="5" t="s">
        <v>35</v>
      </c>
      <c r="M40" s="5">
        <v>9.0440000000000005</v>
      </c>
      <c r="N40" s="5">
        <v>3.5470000000000002</v>
      </c>
    </row>
    <row r="41" spans="1:14" x14ac:dyDescent="0.2">
      <c r="A41" s="7"/>
      <c r="B41" s="1" t="s">
        <v>14</v>
      </c>
      <c r="C41">
        <v>34</v>
      </c>
      <c r="D41">
        <v>38</v>
      </c>
      <c r="E41">
        <v>39</v>
      </c>
      <c r="F41">
        <v>0</v>
      </c>
      <c r="G41">
        <v>32</v>
      </c>
      <c r="H41">
        <v>0</v>
      </c>
      <c r="I41">
        <v>35</v>
      </c>
      <c r="J41">
        <v>37</v>
      </c>
      <c r="K41">
        <v>12</v>
      </c>
      <c r="L41" s="5">
        <v>12</v>
      </c>
      <c r="M41" s="5">
        <v>32</v>
      </c>
      <c r="N41" s="5">
        <v>33</v>
      </c>
    </row>
    <row r="42" spans="1:14" x14ac:dyDescent="0.2">
      <c r="A42" s="7"/>
      <c r="B42" s="1" t="s">
        <v>15</v>
      </c>
      <c r="C42">
        <v>46</v>
      </c>
      <c r="D42">
        <v>46</v>
      </c>
      <c r="E42">
        <v>46</v>
      </c>
      <c r="F42">
        <v>46</v>
      </c>
      <c r="G42">
        <v>46</v>
      </c>
      <c r="H42">
        <v>46</v>
      </c>
      <c r="I42">
        <v>46</v>
      </c>
      <c r="J42">
        <v>46</v>
      </c>
      <c r="K42">
        <v>23</v>
      </c>
      <c r="L42" s="5">
        <v>23</v>
      </c>
      <c r="M42" s="5">
        <v>46</v>
      </c>
      <c r="N42" s="5">
        <v>46</v>
      </c>
    </row>
    <row r="43" spans="1:14" x14ac:dyDescent="0.2">
      <c r="A43" s="1" t="s">
        <v>16</v>
      </c>
      <c r="B43" s="1" t="s">
        <v>16</v>
      </c>
      <c r="L43" s="5"/>
      <c r="M43" s="5"/>
      <c r="N43" s="5"/>
    </row>
    <row r="44" spans="1:14" x14ac:dyDescent="0.2">
      <c r="A44" s="7" t="s">
        <v>22</v>
      </c>
      <c r="B44" s="1" t="s">
        <v>10</v>
      </c>
      <c r="C44">
        <v>0.79500000000000004</v>
      </c>
      <c r="D44">
        <v>0.753</v>
      </c>
      <c r="E44">
        <v>0.78600000000000003</v>
      </c>
      <c r="F44">
        <v>0</v>
      </c>
      <c r="G44">
        <v>0.72899999999999998</v>
      </c>
      <c r="H44">
        <v>0</v>
      </c>
      <c r="I44">
        <v>0.75900000000000001</v>
      </c>
      <c r="J44">
        <v>0.83099999999999996</v>
      </c>
      <c r="K44">
        <v>0.85799999999999998</v>
      </c>
      <c r="L44" s="5">
        <v>0.85799999999999998</v>
      </c>
      <c r="M44" s="5">
        <v>0.80100000000000005</v>
      </c>
      <c r="N44" s="5">
        <v>0.76500000000000001</v>
      </c>
    </row>
    <row r="45" spans="1:14" x14ac:dyDescent="0.2">
      <c r="A45" s="7"/>
      <c r="B45" s="1" t="s">
        <v>11</v>
      </c>
      <c r="C45">
        <v>0.95699999999999996</v>
      </c>
      <c r="D45">
        <v>0.90900000000000003</v>
      </c>
      <c r="E45">
        <v>0.91300000000000003</v>
      </c>
      <c r="F45">
        <v>0.91300000000000003</v>
      </c>
      <c r="G45">
        <v>0.87</v>
      </c>
      <c r="H45">
        <v>0.65200000000000002</v>
      </c>
      <c r="I45">
        <v>0.95699999999999996</v>
      </c>
      <c r="J45">
        <v>1</v>
      </c>
      <c r="K45">
        <v>1</v>
      </c>
      <c r="L45" s="5">
        <v>1</v>
      </c>
      <c r="M45" s="5">
        <v>1</v>
      </c>
      <c r="N45" s="5">
        <v>0.90900000000000003</v>
      </c>
    </row>
    <row r="46" spans="1:14" x14ac:dyDescent="0.2">
      <c r="A46" s="7"/>
      <c r="B46" s="1" t="s">
        <v>12</v>
      </c>
      <c r="C46">
        <v>10</v>
      </c>
      <c r="D46">
        <v>9</v>
      </c>
      <c r="E46">
        <v>10</v>
      </c>
      <c r="F46">
        <v>0</v>
      </c>
      <c r="G46">
        <v>9</v>
      </c>
      <c r="H46">
        <v>0</v>
      </c>
      <c r="I46">
        <v>10</v>
      </c>
      <c r="J46">
        <v>10</v>
      </c>
      <c r="K46">
        <v>12</v>
      </c>
      <c r="L46" s="5">
        <v>12</v>
      </c>
      <c r="M46" s="5">
        <v>12</v>
      </c>
      <c r="N46" s="5">
        <v>11</v>
      </c>
    </row>
    <row r="47" spans="1:14" x14ac:dyDescent="0.2">
      <c r="A47" s="7"/>
      <c r="B47" s="1" t="s">
        <v>13</v>
      </c>
      <c r="C47">
        <v>54.81</v>
      </c>
      <c r="D47">
        <v>3.887</v>
      </c>
      <c r="E47">
        <v>41.018999999999998</v>
      </c>
      <c r="F47">
        <v>1.4039999999999999</v>
      </c>
      <c r="G47">
        <v>2.6880000000000002</v>
      </c>
      <c r="H47">
        <v>1.879</v>
      </c>
      <c r="I47">
        <v>3.9809999999999999</v>
      </c>
      <c r="J47">
        <v>10.741</v>
      </c>
      <c r="K47" t="s">
        <v>35</v>
      </c>
      <c r="L47" s="5" t="s">
        <v>35</v>
      </c>
      <c r="M47" s="5">
        <v>9.6329999999999991</v>
      </c>
      <c r="N47" s="5">
        <v>3.637</v>
      </c>
    </row>
    <row r="48" spans="1:14" x14ac:dyDescent="0.2">
      <c r="A48" s="7"/>
      <c r="B48" s="1" t="s">
        <v>14</v>
      </c>
      <c r="C48">
        <v>10</v>
      </c>
      <c r="D48">
        <v>9</v>
      </c>
      <c r="E48">
        <v>10</v>
      </c>
      <c r="F48">
        <v>0</v>
      </c>
      <c r="G48">
        <v>9</v>
      </c>
      <c r="H48">
        <v>0</v>
      </c>
      <c r="I48">
        <v>10</v>
      </c>
      <c r="J48">
        <v>10</v>
      </c>
      <c r="K48">
        <v>12</v>
      </c>
      <c r="L48" s="5">
        <v>12</v>
      </c>
      <c r="M48" s="5">
        <v>12</v>
      </c>
      <c r="N48" s="5">
        <v>11</v>
      </c>
    </row>
    <row r="49" spans="1:14" x14ac:dyDescent="0.2">
      <c r="A49" s="7"/>
      <c r="B49" s="1" t="s">
        <v>15</v>
      </c>
      <c r="C49">
        <v>23</v>
      </c>
      <c r="D49">
        <v>23</v>
      </c>
      <c r="E49">
        <v>23</v>
      </c>
      <c r="F49">
        <v>23</v>
      </c>
      <c r="G49">
        <v>23</v>
      </c>
      <c r="H49">
        <v>23</v>
      </c>
      <c r="I49">
        <v>23</v>
      </c>
      <c r="J49">
        <v>23</v>
      </c>
      <c r="K49">
        <v>23</v>
      </c>
      <c r="L49" s="5">
        <v>23</v>
      </c>
      <c r="M49" s="5">
        <v>23</v>
      </c>
      <c r="N49" s="5">
        <v>23</v>
      </c>
    </row>
    <row r="50" spans="1:14" x14ac:dyDescent="0.2">
      <c r="A50" s="1" t="s">
        <v>16</v>
      </c>
      <c r="B50" s="1" t="s">
        <v>16</v>
      </c>
      <c r="L50" s="5"/>
      <c r="M50" s="5"/>
      <c r="N50" s="5"/>
    </row>
    <row r="51" spans="1:14" x14ac:dyDescent="0.2">
      <c r="A51" s="7" t="s">
        <v>23</v>
      </c>
      <c r="B51" s="1" t="s">
        <v>10</v>
      </c>
      <c r="C51">
        <v>0.92200000000000004</v>
      </c>
      <c r="D51">
        <v>0.82799999999999996</v>
      </c>
      <c r="E51">
        <v>0.879</v>
      </c>
      <c r="F51">
        <v>0</v>
      </c>
      <c r="G51">
        <v>0.68400000000000005</v>
      </c>
      <c r="H51">
        <v>0</v>
      </c>
      <c r="I51">
        <v>0.82099999999999995</v>
      </c>
      <c r="J51">
        <v>0.89700000000000002</v>
      </c>
      <c r="K51">
        <v>0.93700000000000006</v>
      </c>
      <c r="L51" s="5">
        <v>0.95099999999999996</v>
      </c>
      <c r="M51" s="5">
        <v>0.89300000000000002</v>
      </c>
      <c r="N51" s="5">
        <v>0.82099999999999995</v>
      </c>
    </row>
    <row r="52" spans="1:14" x14ac:dyDescent="0.2">
      <c r="A52" s="7"/>
      <c r="B52" s="1" t="s">
        <v>11</v>
      </c>
      <c r="C52">
        <v>1</v>
      </c>
      <c r="D52">
        <v>0.91300000000000003</v>
      </c>
      <c r="E52">
        <v>0.91300000000000003</v>
      </c>
      <c r="F52">
        <v>0.82599999999999996</v>
      </c>
      <c r="G52">
        <v>0.87</v>
      </c>
      <c r="H52">
        <v>0.78300000000000003</v>
      </c>
      <c r="I52">
        <v>0.95699999999999996</v>
      </c>
      <c r="J52">
        <v>0.95699999999999996</v>
      </c>
      <c r="K52">
        <v>1</v>
      </c>
      <c r="L52" s="5">
        <v>1</v>
      </c>
      <c r="M52" s="5">
        <v>0.95699999999999996</v>
      </c>
      <c r="N52" s="5">
        <v>0.87</v>
      </c>
    </row>
    <row r="53" spans="1:14" x14ac:dyDescent="0.2">
      <c r="A53" s="7"/>
      <c r="B53" s="1" t="s">
        <v>12</v>
      </c>
      <c r="C53">
        <v>17</v>
      </c>
      <c r="D53">
        <v>11</v>
      </c>
      <c r="E53">
        <v>17</v>
      </c>
      <c r="F53">
        <v>0</v>
      </c>
      <c r="G53">
        <v>10</v>
      </c>
      <c r="H53">
        <v>0</v>
      </c>
      <c r="I53">
        <v>15</v>
      </c>
      <c r="J53">
        <v>16</v>
      </c>
      <c r="K53">
        <v>18</v>
      </c>
      <c r="L53" s="5">
        <v>18</v>
      </c>
      <c r="M53" s="5">
        <v>17</v>
      </c>
      <c r="N53" s="5">
        <v>9</v>
      </c>
    </row>
    <row r="54" spans="1:14" x14ac:dyDescent="0.2">
      <c r="A54" s="7"/>
      <c r="B54" s="1" t="s">
        <v>13</v>
      </c>
      <c r="C54">
        <v>49.753</v>
      </c>
      <c r="D54">
        <v>3.6230000000000002</v>
      </c>
      <c r="E54">
        <v>38.308</v>
      </c>
      <c r="F54">
        <v>1.351</v>
      </c>
      <c r="G54">
        <v>2.2959999999999998</v>
      </c>
      <c r="H54">
        <v>1.756</v>
      </c>
      <c r="I54">
        <v>3.6269999999999998</v>
      </c>
      <c r="J54">
        <v>8.4260000000000002</v>
      </c>
      <c r="K54" t="s">
        <v>35</v>
      </c>
      <c r="L54" s="5" t="s">
        <v>35</v>
      </c>
      <c r="M54" s="5">
        <v>8.359</v>
      </c>
      <c r="N54" s="5">
        <v>3.5449999999999999</v>
      </c>
    </row>
    <row r="55" spans="1:14" x14ac:dyDescent="0.2">
      <c r="A55" s="7"/>
      <c r="B55" s="1" t="s">
        <v>14</v>
      </c>
      <c r="C55">
        <v>17</v>
      </c>
      <c r="D55">
        <v>11</v>
      </c>
      <c r="E55">
        <v>17</v>
      </c>
      <c r="F55">
        <v>0</v>
      </c>
      <c r="G55">
        <v>10</v>
      </c>
      <c r="H55">
        <v>0</v>
      </c>
      <c r="I55">
        <v>15</v>
      </c>
      <c r="J55">
        <v>16</v>
      </c>
      <c r="K55">
        <v>18</v>
      </c>
      <c r="L55" s="5">
        <v>18</v>
      </c>
      <c r="M55" s="5">
        <v>17</v>
      </c>
      <c r="N55" s="5">
        <v>9</v>
      </c>
    </row>
    <row r="56" spans="1:14" x14ac:dyDescent="0.2">
      <c r="A56" s="7"/>
      <c r="B56" s="1" t="s">
        <v>15</v>
      </c>
      <c r="C56">
        <v>23</v>
      </c>
      <c r="D56">
        <v>23</v>
      </c>
      <c r="E56">
        <v>23</v>
      </c>
      <c r="F56">
        <v>23</v>
      </c>
      <c r="G56">
        <v>23</v>
      </c>
      <c r="H56">
        <v>23</v>
      </c>
      <c r="I56">
        <v>23</v>
      </c>
      <c r="J56">
        <v>23</v>
      </c>
      <c r="K56">
        <v>23</v>
      </c>
      <c r="L56" s="5">
        <v>23</v>
      </c>
      <c r="M56" s="5">
        <v>23</v>
      </c>
      <c r="N56" s="5">
        <v>23</v>
      </c>
    </row>
    <row r="57" spans="1:14" x14ac:dyDescent="0.2">
      <c r="A57" s="1" t="s">
        <v>16</v>
      </c>
      <c r="B57" s="1" t="s">
        <v>16</v>
      </c>
      <c r="L57" s="5"/>
      <c r="M57" s="5"/>
      <c r="N57" s="5"/>
    </row>
    <row r="58" spans="1:14" x14ac:dyDescent="0.2">
      <c r="A58" s="7" t="s">
        <v>24</v>
      </c>
      <c r="B58" s="1" t="s">
        <v>10</v>
      </c>
      <c r="C58">
        <v>0.78600000000000003</v>
      </c>
      <c r="D58">
        <v>0.75600000000000001</v>
      </c>
      <c r="E58">
        <v>0.83499999999999996</v>
      </c>
      <c r="F58">
        <v>0</v>
      </c>
      <c r="G58">
        <v>0.73899999999999999</v>
      </c>
      <c r="H58">
        <v>0</v>
      </c>
      <c r="I58">
        <v>0.75900000000000001</v>
      </c>
      <c r="J58">
        <v>0.83499999999999996</v>
      </c>
      <c r="K58">
        <v>0.96099999999999997</v>
      </c>
      <c r="L58" s="5">
        <v>0.96099999999999997</v>
      </c>
      <c r="M58" s="5">
        <v>0.76400000000000001</v>
      </c>
      <c r="N58" s="5">
        <v>0.76700000000000002</v>
      </c>
    </row>
    <row r="59" spans="1:14" x14ac:dyDescent="0.2">
      <c r="A59" s="7"/>
      <c r="B59" s="1" t="s">
        <v>11</v>
      </c>
      <c r="C59">
        <v>0.95699999999999996</v>
      </c>
      <c r="D59">
        <v>0.91300000000000003</v>
      </c>
      <c r="E59">
        <v>0.95699999999999996</v>
      </c>
      <c r="F59">
        <v>0.82599999999999996</v>
      </c>
      <c r="G59">
        <v>0.87</v>
      </c>
      <c r="H59">
        <v>0.73899999999999999</v>
      </c>
      <c r="I59">
        <v>0.95699999999999996</v>
      </c>
      <c r="J59">
        <v>1</v>
      </c>
      <c r="K59">
        <v>1</v>
      </c>
      <c r="L59" s="5">
        <v>1</v>
      </c>
      <c r="M59" s="5">
        <v>1</v>
      </c>
      <c r="N59" s="5">
        <v>0.91300000000000003</v>
      </c>
    </row>
    <row r="60" spans="1:14" x14ac:dyDescent="0.2">
      <c r="A60" s="7"/>
      <c r="B60" s="1" t="s">
        <v>12</v>
      </c>
      <c r="C60">
        <v>9</v>
      </c>
      <c r="D60">
        <v>9</v>
      </c>
      <c r="E60">
        <v>11</v>
      </c>
      <c r="F60">
        <v>0</v>
      </c>
      <c r="G60">
        <v>9</v>
      </c>
      <c r="H60">
        <v>0</v>
      </c>
      <c r="I60">
        <v>10</v>
      </c>
      <c r="J60">
        <v>10</v>
      </c>
      <c r="K60">
        <v>17</v>
      </c>
      <c r="L60" s="5">
        <v>17</v>
      </c>
      <c r="M60" s="5">
        <v>12</v>
      </c>
      <c r="N60" s="5">
        <v>12</v>
      </c>
    </row>
    <row r="61" spans="1:14" x14ac:dyDescent="0.2">
      <c r="A61" s="7"/>
      <c r="B61" s="1" t="s">
        <v>13</v>
      </c>
      <c r="C61">
        <v>52.893000000000001</v>
      </c>
      <c r="D61">
        <v>3.9609999999999999</v>
      </c>
      <c r="E61">
        <v>41.765000000000001</v>
      </c>
      <c r="F61">
        <v>1.41</v>
      </c>
      <c r="G61">
        <v>2.702</v>
      </c>
      <c r="H61">
        <v>1.7390000000000001</v>
      </c>
      <c r="I61">
        <v>3.9380000000000002</v>
      </c>
      <c r="J61">
        <v>11.439</v>
      </c>
      <c r="K61" t="s">
        <v>35</v>
      </c>
      <c r="L61" s="5" t="s">
        <v>35</v>
      </c>
      <c r="M61" s="5">
        <v>9.6609999999999996</v>
      </c>
      <c r="N61" s="5">
        <v>3.6760000000000002</v>
      </c>
    </row>
    <row r="62" spans="1:14" x14ac:dyDescent="0.2">
      <c r="A62" s="7"/>
      <c r="B62" s="1" t="s">
        <v>14</v>
      </c>
      <c r="C62">
        <v>9</v>
      </c>
      <c r="D62">
        <v>9</v>
      </c>
      <c r="E62">
        <v>11</v>
      </c>
      <c r="F62">
        <v>0</v>
      </c>
      <c r="G62">
        <v>9</v>
      </c>
      <c r="H62">
        <v>0</v>
      </c>
      <c r="I62">
        <v>10</v>
      </c>
      <c r="J62">
        <v>10</v>
      </c>
      <c r="K62">
        <v>17</v>
      </c>
      <c r="L62" s="5">
        <v>17</v>
      </c>
      <c r="M62" s="5">
        <v>12</v>
      </c>
      <c r="N62" s="5">
        <v>12</v>
      </c>
    </row>
    <row r="63" spans="1:14" x14ac:dyDescent="0.2">
      <c r="A63" s="7"/>
      <c r="B63" s="1" t="s">
        <v>15</v>
      </c>
      <c r="C63">
        <v>23</v>
      </c>
      <c r="D63">
        <v>23</v>
      </c>
      <c r="E63">
        <v>23</v>
      </c>
      <c r="F63">
        <v>23</v>
      </c>
      <c r="G63">
        <v>23</v>
      </c>
      <c r="H63">
        <v>23</v>
      </c>
      <c r="I63">
        <v>23</v>
      </c>
      <c r="J63">
        <v>23</v>
      </c>
      <c r="K63">
        <v>23</v>
      </c>
      <c r="L63" s="5">
        <v>23</v>
      </c>
      <c r="M63" s="5">
        <v>23</v>
      </c>
      <c r="N63" s="5">
        <v>23</v>
      </c>
    </row>
    <row r="64" spans="1:14" x14ac:dyDescent="0.2">
      <c r="A64" s="1" t="s">
        <v>16</v>
      </c>
      <c r="B64" s="1" t="s">
        <v>16</v>
      </c>
      <c r="L64" s="5"/>
      <c r="M64" s="5"/>
      <c r="N64" s="5"/>
    </row>
    <row r="65" spans="1:16" x14ac:dyDescent="0.2">
      <c r="M65" s="5"/>
      <c r="N65" s="5"/>
    </row>
    <row r="66" spans="1:16" x14ac:dyDescent="0.2">
      <c r="A66" s="8" t="s">
        <v>25</v>
      </c>
      <c r="B66" t="s">
        <v>27</v>
      </c>
      <c r="C66" s="2">
        <f t="shared" ref="C66:J67" si="0">AVERAGE(C2,C9,C16,C23,C30,C37,C44,C51,C58)</f>
        <v>0.82946666666666657</v>
      </c>
      <c r="D66" s="2">
        <f t="shared" si="0"/>
        <v>0.81968888888888902</v>
      </c>
      <c r="E66" s="2">
        <f t="shared" si="0"/>
        <v>0.85102222222222212</v>
      </c>
      <c r="F66" s="2">
        <f t="shared" si="0"/>
        <v>0</v>
      </c>
      <c r="G66" s="2">
        <f t="shared" si="0"/>
        <v>0.75126666666666664</v>
      </c>
      <c r="H66" s="2">
        <f t="shared" si="0"/>
        <v>0</v>
      </c>
      <c r="I66" s="2">
        <f t="shared" si="0"/>
        <v>0.80755555555555558</v>
      </c>
      <c r="J66" s="2">
        <f t="shared" si="0"/>
        <v>0.85319999999999996</v>
      </c>
      <c r="K66" s="2">
        <f t="shared" ref="K66:L66" si="1">AVERAGE(K2,K9,K16,K23,K30,K37,K44,K51,K58)</f>
        <v>0.86688888888888882</v>
      </c>
      <c r="L66" s="2">
        <f t="shared" si="1"/>
        <v>0.86888888888888882</v>
      </c>
      <c r="M66" s="5">
        <v>0.98077777799999999</v>
      </c>
      <c r="N66" s="5">
        <v>0.90011111099999996</v>
      </c>
      <c r="O66" s="5"/>
      <c r="P66" s="5"/>
    </row>
    <row r="67" spans="1:16" x14ac:dyDescent="0.2">
      <c r="A67" s="8"/>
      <c r="B67" t="s">
        <v>26</v>
      </c>
      <c r="C67" s="2">
        <f t="shared" si="0"/>
        <v>0.95911111111111103</v>
      </c>
      <c r="D67" s="2">
        <f t="shared" si="0"/>
        <v>0.93422222222222218</v>
      </c>
      <c r="E67" s="2">
        <f t="shared" si="0"/>
        <v>0.92766666666666686</v>
      </c>
      <c r="F67" s="2">
        <f t="shared" si="0"/>
        <v>0.87211111111111095</v>
      </c>
      <c r="G67" s="2">
        <f t="shared" si="0"/>
        <v>0.84322222222222232</v>
      </c>
      <c r="H67" s="2">
        <f t="shared" si="0"/>
        <v>0.73622222222222222</v>
      </c>
      <c r="I67" s="2">
        <f t="shared" si="0"/>
        <v>0.93744444444444441</v>
      </c>
      <c r="J67" s="2">
        <f t="shared" si="0"/>
        <v>0.97333333333333327</v>
      </c>
      <c r="K67" s="2">
        <f t="shared" ref="K67:L67" si="2">AVERAGE(K3,K10,K17,K24,K31,K38,K45,K52,K59)</f>
        <v>1</v>
      </c>
      <c r="L67" s="2">
        <f t="shared" si="2"/>
        <v>1</v>
      </c>
      <c r="M67" s="5">
        <v>0.79888888899999999</v>
      </c>
      <c r="N67" s="5">
        <v>0.75866666699999996</v>
      </c>
      <c r="O67" s="5"/>
      <c r="P67" s="5"/>
    </row>
    <row r="68" spans="1:16" x14ac:dyDescent="0.2">
      <c r="A68" s="8"/>
      <c r="B68" t="s">
        <v>15</v>
      </c>
      <c r="C68">
        <f t="shared" ref="C68:J68" si="3">SUM(C7,C14,C21,C28,C35,C42,C49,C56,C63)</f>
        <v>253</v>
      </c>
      <c r="D68">
        <f t="shared" si="3"/>
        <v>253</v>
      </c>
      <c r="E68">
        <f t="shared" si="3"/>
        <v>253</v>
      </c>
      <c r="F68">
        <f t="shared" si="3"/>
        <v>253</v>
      </c>
      <c r="G68">
        <f t="shared" si="3"/>
        <v>253</v>
      </c>
      <c r="H68">
        <f t="shared" si="3"/>
        <v>253</v>
      </c>
      <c r="I68">
        <f t="shared" si="3"/>
        <v>253</v>
      </c>
      <c r="J68">
        <f t="shared" si="3"/>
        <v>253</v>
      </c>
      <c r="K68">
        <f t="shared" ref="K68:N68" si="4">SUM(K7,K14,K21,K28,K35,K42,K49,K56,K63)</f>
        <v>253</v>
      </c>
      <c r="L68">
        <f t="shared" si="4"/>
        <v>253</v>
      </c>
      <c r="M68">
        <f t="shared" si="4"/>
        <v>253</v>
      </c>
      <c r="N68">
        <f t="shared" si="4"/>
        <v>253</v>
      </c>
    </row>
    <row r="69" spans="1:16" x14ac:dyDescent="0.2">
      <c r="A69" s="8"/>
      <c r="B69" t="s">
        <v>28</v>
      </c>
      <c r="C69" s="2">
        <f t="shared" ref="C69:J69" si="5">AVERAGE(C61,C54,C47,C40,C33,C26,C19,C12,C5)</f>
        <v>51.216777777777772</v>
      </c>
      <c r="D69" s="2">
        <f t="shared" si="5"/>
        <v>3.9835555555555553</v>
      </c>
      <c r="E69" s="2">
        <f t="shared" si="5"/>
        <v>40.334444444444451</v>
      </c>
      <c r="F69" s="2">
        <f t="shared" si="5"/>
        <v>1.3868888888888888</v>
      </c>
      <c r="G69" s="2">
        <f t="shared" si="5"/>
        <v>2.6435555555555559</v>
      </c>
      <c r="H69" s="2">
        <f t="shared" si="5"/>
        <v>1.8304444444444445</v>
      </c>
      <c r="I69" s="2">
        <f t="shared" si="5"/>
        <v>3.9596666666666667</v>
      </c>
      <c r="J69" s="2">
        <f t="shared" si="5"/>
        <v>11.214444444444446</v>
      </c>
      <c r="K69" s="2"/>
      <c r="L69" s="2"/>
      <c r="M69" s="5">
        <v>9.2977777780000004</v>
      </c>
      <c r="N69" s="5">
        <v>3.8733333330000002</v>
      </c>
      <c r="O69" s="5"/>
      <c r="P69" s="5"/>
    </row>
    <row r="70" spans="1:16" x14ac:dyDescent="0.2">
      <c r="A70" s="8"/>
      <c r="B70" t="s">
        <v>29</v>
      </c>
      <c r="C70">
        <f t="shared" ref="C70:J70" si="6">SUM(C60,C53,C46,C39,C32,C25,C18,C11,C4)</f>
        <v>127</v>
      </c>
      <c r="D70">
        <f t="shared" si="6"/>
        <v>118</v>
      </c>
      <c r="E70">
        <f t="shared" si="6"/>
        <v>137</v>
      </c>
      <c r="F70">
        <f t="shared" si="6"/>
        <v>0</v>
      </c>
      <c r="G70">
        <f t="shared" si="6"/>
        <v>110</v>
      </c>
      <c r="H70">
        <f t="shared" si="6"/>
        <v>0</v>
      </c>
      <c r="I70">
        <f t="shared" si="6"/>
        <v>125</v>
      </c>
      <c r="J70">
        <f t="shared" si="6"/>
        <v>132</v>
      </c>
      <c r="K70">
        <f t="shared" ref="K70:L70" si="7">SUM(K60,K53,K46,K39,K32,K25,K18,K11,K4)</f>
        <v>149</v>
      </c>
      <c r="L70">
        <f t="shared" si="7"/>
        <v>150</v>
      </c>
      <c r="M70" s="5">
        <v>134</v>
      </c>
      <c r="N70" s="5">
        <v>120</v>
      </c>
      <c r="O70" s="5"/>
      <c r="P70" s="5"/>
    </row>
    <row r="71" spans="1:16" x14ac:dyDescent="0.2">
      <c r="C71">
        <f>C70/250</f>
        <v>0.50800000000000001</v>
      </c>
      <c r="D71">
        <f t="shared" ref="D71:M71" si="8">D70/250</f>
        <v>0.47199999999999998</v>
      </c>
      <c r="E71">
        <f t="shared" si="8"/>
        <v>0.54800000000000004</v>
      </c>
      <c r="F71">
        <f t="shared" si="8"/>
        <v>0</v>
      </c>
      <c r="G71">
        <f t="shared" si="8"/>
        <v>0.44</v>
      </c>
      <c r="H71">
        <f t="shared" si="8"/>
        <v>0</v>
      </c>
      <c r="I71">
        <f t="shared" si="8"/>
        <v>0.5</v>
      </c>
      <c r="J71">
        <f t="shared" si="8"/>
        <v>0.52800000000000002</v>
      </c>
      <c r="K71">
        <f t="shared" si="8"/>
        <v>0.59599999999999997</v>
      </c>
      <c r="L71">
        <f t="shared" ref="L71:N71" si="9">L70/250</f>
        <v>0.6</v>
      </c>
      <c r="M71">
        <f t="shared" si="8"/>
        <v>0.53600000000000003</v>
      </c>
      <c r="N71">
        <f t="shared" si="9"/>
        <v>0.48</v>
      </c>
    </row>
    <row r="74" spans="1:16" x14ac:dyDescent="0.2">
      <c r="B74" t="s">
        <v>30</v>
      </c>
      <c r="C74">
        <f t="shared" ref="C74:J74" si="10">AVERAGE(C59,C45,C17)</f>
        <v>0.95699999999999996</v>
      </c>
      <c r="D74">
        <f t="shared" si="10"/>
        <v>0.91166666666666674</v>
      </c>
      <c r="E74">
        <f t="shared" si="10"/>
        <v>0.95666666666666667</v>
      </c>
      <c r="F74">
        <f t="shared" si="10"/>
        <v>0.8696666666666667</v>
      </c>
      <c r="G74">
        <f t="shared" si="10"/>
        <v>0.87</v>
      </c>
      <c r="H74">
        <f t="shared" si="10"/>
        <v>0.66666666666666663</v>
      </c>
      <c r="I74">
        <f t="shared" si="10"/>
        <v>0.95699999999999996</v>
      </c>
      <c r="J74">
        <f t="shared" si="10"/>
        <v>1</v>
      </c>
      <c r="K74">
        <f t="shared" ref="K74:N74" si="11">AVERAGE(K59,K45,K17)</f>
        <v>1</v>
      </c>
      <c r="L74">
        <f t="shared" si="11"/>
        <v>1</v>
      </c>
      <c r="M74">
        <f t="shared" si="11"/>
        <v>1</v>
      </c>
      <c r="N74">
        <f t="shared" si="11"/>
        <v>0.91033333333333333</v>
      </c>
    </row>
    <row r="82" spans="2:14" x14ac:dyDescent="0.2">
      <c r="C82" s="1" t="s">
        <v>4</v>
      </c>
      <c r="D82" s="1" t="s">
        <v>6</v>
      </c>
      <c r="E82" s="1" t="s">
        <v>8</v>
      </c>
      <c r="F82" s="1" t="s">
        <v>2</v>
      </c>
      <c r="G82" s="1" t="s">
        <v>5</v>
      </c>
      <c r="H82" s="1" t="s">
        <v>7</v>
      </c>
      <c r="I82" s="1" t="s">
        <v>1</v>
      </c>
      <c r="J82" s="1" t="s">
        <v>3</v>
      </c>
      <c r="K82" s="1" t="s">
        <v>39</v>
      </c>
      <c r="L82" s="1" t="s">
        <v>40</v>
      </c>
      <c r="M82" s="1" t="s">
        <v>41</v>
      </c>
      <c r="N82" s="1" t="s">
        <v>42</v>
      </c>
    </row>
    <row r="83" spans="2:14" x14ac:dyDescent="0.2">
      <c r="B83" t="s">
        <v>32</v>
      </c>
      <c r="C83" s="2">
        <v>0</v>
      </c>
      <c r="D83" s="2">
        <v>0</v>
      </c>
      <c r="E83" s="2">
        <v>0.85319999999999996</v>
      </c>
      <c r="F83" s="2">
        <v>0.81968888888888902</v>
      </c>
      <c r="G83" s="2">
        <v>0.75126666666666697</v>
      </c>
      <c r="H83" s="2">
        <v>0.80755555555555603</v>
      </c>
      <c r="I83" s="2">
        <v>0.82946666666666702</v>
      </c>
      <c r="J83" s="2">
        <v>0.85102222222222201</v>
      </c>
      <c r="K83" s="2">
        <v>0.87</v>
      </c>
      <c r="L83" s="2">
        <v>0.87</v>
      </c>
      <c r="M83" s="5">
        <v>0.8</v>
      </c>
      <c r="N83" s="5">
        <v>0.76</v>
      </c>
    </row>
    <row r="84" spans="2:14" x14ac:dyDescent="0.2">
      <c r="B84" t="s">
        <v>31</v>
      </c>
      <c r="C84" s="2">
        <v>0.87211111111111095</v>
      </c>
      <c r="D84" s="2">
        <v>0.736222222222222</v>
      </c>
      <c r="E84" s="2">
        <v>0.97333333333333305</v>
      </c>
      <c r="F84" s="2">
        <v>0.93422222222222195</v>
      </c>
      <c r="G84" s="2">
        <v>0.84322222222222198</v>
      </c>
      <c r="H84" s="2">
        <v>0.93744444444444397</v>
      </c>
      <c r="I84" s="2">
        <v>0.95911111111111103</v>
      </c>
      <c r="J84" s="2">
        <v>0.92766666666666697</v>
      </c>
      <c r="K84" s="2">
        <v>1</v>
      </c>
      <c r="L84" s="2">
        <v>1</v>
      </c>
      <c r="M84" s="5">
        <v>0.98</v>
      </c>
      <c r="N84" s="5">
        <v>0.9</v>
      </c>
    </row>
    <row r="85" spans="2:14" x14ac:dyDescent="0.2">
      <c r="B85" t="s">
        <v>33</v>
      </c>
      <c r="C85" s="2">
        <v>1.3868888888888899</v>
      </c>
      <c r="D85" s="2">
        <v>1.8304444444444401</v>
      </c>
      <c r="E85" s="2">
        <v>11.2144444444444</v>
      </c>
      <c r="F85" s="2">
        <v>3.9835555555555602</v>
      </c>
      <c r="G85" s="2">
        <v>2.6435555555555599</v>
      </c>
      <c r="H85" s="2">
        <v>3.9596666666666702</v>
      </c>
      <c r="I85" s="2">
        <v>51.2167777777778</v>
      </c>
      <c r="J85" s="2">
        <v>40.334444444444401</v>
      </c>
      <c r="K85" t="s">
        <v>35</v>
      </c>
      <c r="M85" s="2">
        <v>9.2899999999999991</v>
      </c>
      <c r="N85" s="2">
        <v>3.87</v>
      </c>
    </row>
    <row r="86" spans="2:14" x14ac:dyDescent="0.2">
      <c r="B86" t="s">
        <v>43</v>
      </c>
      <c r="C86" s="2">
        <v>0</v>
      </c>
      <c r="D86" s="2">
        <v>0</v>
      </c>
      <c r="E86" s="2">
        <v>132</v>
      </c>
      <c r="F86" s="2">
        <v>118</v>
      </c>
      <c r="G86" s="2">
        <v>110</v>
      </c>
      <c r="H86" s="2">
        <v>125</v>
      </c>
      <c r="I86" s="2">
        <v>127</v>
      </c>
      <c r="J86" s="2">
        <v>137</v>
      </c>
      <c r="K86" s="2">
        <v>149</v>
      </c>
      <c r="L86" s="2">
        <v>150</v>
      </c>
      <c r="M86" s="5">
        <v>134</v>
      </c>
      <c r="N86" s="5">
        <v>120</v>
      </c>
    </row>
    <row r="87" spans="2:14" x14ac:dyDescent="0.2">
      <c r="M87" s="5"/>
      <c r="N87" s="5"/>
    </row>
  </sheetData>
  <mergeCells count="10">
    <mergeCell ref="A2:A7"/>
    <mergeCell ref="A9:A14"/>
    <mergeCell ref="A16:A21"/>
    <mergeCell ref="A23:A28"/>
    <mergeCell ref="A30:A35"/>
    <mergeCell ref="A37:A42"/>
    <mergeCell ref="A44:A49"/>
    <mergeCell ref="A51:A56"/>
    <mergeCell ref="A58:A63"/>
    <mergeCell ref="A66:A70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Buisson, Alexandre</cp:lastModifiedBy>
  <cp:revision>3</cp:revision>
  <dcterms:created xsi:type="dcterms:W3CDTF">2026-01-10T02:35:43Z</dcterms:created>
  <dcterms:modified xsi:type="dcterms:W3CDTF">2026-06-26T15:40:31Z</dcterms:modified>
  <dc:language>en-US</dc:language>
</cp:coreProperties>
</file>